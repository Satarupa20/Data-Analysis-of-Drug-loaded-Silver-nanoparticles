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bf3109eb28e8ba/Desktop/"/>
    </mc:Choice>
  </mc:AlternateContent>
  <xr:revisionPtr revIDLastSave="4" documentId="8_{7F7B3043-2910-4100-999E-023B597DB909}" xr6:coauthVersionLast="47" xr6:coauthVersionMax="47" xr10:uidLastSave="{6C08873A-C12B-4DAE-9EB1-AF59C7C8CAF8}"/>
  <bookViews>
    <workbookView xWindow="-108" yWindow="-108" windowWidth="23256" windowHeight="12456" xr2:uid="{F887B53D-F5DA-4928-920B-B0DC14E79C7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" i="1"/>
  <c r="A4" i="1"/>
  <c r="A5" i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<sst xmlns="http://schemas.openxmlformats.org/spreadsheetml/2006/main" count="20" uniqueCount="15">
  <si>
    <t>Absorbance</t>
  </si>
  <si>
    <t>Conc. (mg/ml)</t>
  </si>
  <si>
    <t>Stock solution</t>
  </si>
  <si>
    <t>100x</t>
  </si>
  <si>
    <t>1000x</t>
  </si>
  <si>
    <t>100000x</t>
  </si>
  <si>
    <t>Abs.</t>
  </si>
  <si>
    <t>(y - 0.0374)/10.336 = x</t>
  </si>
  <si>
    <r>
      <t>t</t>
    </r>
    <r>
      <rPr>
        <vertAlign val="superscript"/>
        <sz val="11"/>
        <color theme="1"/>
        <rFont val="Calibri"/>
        <family val="2"/>
        <scheme val="minor"/>
      </rPr>
      <t xml:space="preserve">1/2 </t>
    </r>
    <r>
      <rPr>
        <sz val="11"/>
        <color theme="1"/>
        <rFont val="Calibri"/>
        <family val="2"/>
        <scheme val="minor"/>
      </rPr>
      <t>(mins)</t>
    </r>
  </si>
  <si>
    <t>Time (mins)</t>
  </si>
  <si>
    <t>Conc.[ Qt (mg/ml)]</t>
  </si>
  <si>
    <t>Conc. [Log Qt (mg/ml)]</t>
  </si>
  <si>
    <r>
      <t>t</t>
    </r>
    <r>
      <rPr>
        <vertAlign val="superscript"/>
        <sz val="11"/>
        <color theme="1"/>
        <rFont val="Calibri"/>
        <family val="2"/>
        <scheme val="minor"/>
      </rPr>
      <t>1/2</t>
    </r>
    <r>
      <rPr>
        <sz val="11"/>
        <color theme="1"/>
        <rFont val="Calibri"/>
        <family val="2"/>
        <scheme val="minor"/>
      </rPr>
      <t xml:space="preserve"> (mins)</t>
    </r>
  </si>
  <si>
    <t>y = Absorbance</t>
  </si>
  <si>
    <t>x =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</si>
</sst>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Standard Drug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3661614173228346"/>
                  <c:y val="1.79228638086905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ysClr val="windowText" lastClr="000000"/>
                        </a:solidFill>
                      </a:rPr>
                      <a:t>y = 10.336x + 0.0374</a:t>
                    </a:r>
                    <a:endParaRPr lang="en-US" sz="1100" b="1">
                      <a:solidFill>
                        <a:sysClr val="windowText" lastClr="00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Sheet1!$P$6:$P$8</c:f>
              <c:numCache>
                <c:formatCode>General</c:formatCode>
                <c:ptCount val="3"/>
                <c:pt idx="0">
                  <c:v>0.02</c:v>
                </c:pt>
                <c:pt idx="1">
                  <c:v>2E-3</c:v>
                </c:pt>
                <c:pt idx="2">
                  <c:v>2.0000000000000001E-4</c:v>
                </c:pt>
              </c:numCache>
            </c:numRef>
          </c:xVal>
          <c:yVal>
            <c:numRef>
              <c:f>Sheet1!$Q$6:$Q$8</c:f>
              <c:numCache>
                <c:formatCode>General</c:formatCode>
                <c:ptCount val="3"/>
                <c:pt idx="0">
                  <c:v>0.24410000000000001</c:v>
                </c:pt>
                <c:pt idx="1">
                  <c:v>5.8900000000000001E-2</c:v>
                </c:pt>
                <c:pt idx="2">
                  <c:v>3.8800000000000001E-2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9-4D00-87A9-0F0B3BA9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464447"/>
        <c:axId val="749467807"/>
      </c:scatterChart>
      <c:valAx>
        <c:axId val="749464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Conc. (mg/ml)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67807"/>
        <c:crosses val="autoZero"/>
        <c:crossBetween val="midCat"/>
      </c:valAx>
      <c:valAx>
        <c:axId val="749467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64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Zero</a:t>
            </a:r>
            <a:r>
              <a:rPr lang="en-US" b="1" baseline="0">
                <a:solidFill>
                  <a:sysClr val="windowText" lastClr="000000"/>
                </a:solidFill>
              </a:rPr>
              <a:t> Order Release Kinetics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Conc.[ Qt (mg/ml)]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Sheet2!$A$2:$A$27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  <c:pt idx="18">
                  <c:v>55</c:v>
                </c:pt>
                <c:pt idx="19">
                  <c:v>60</c:v>
                </c:pt>
                <c:pt idx="20">
                  <c:v>70</c:v>
                </c:pt>
                <c:pt idx="21">
                  <c:v>80</c:v>
                </c:pt>
                <c:pt idx="22">
                  <c:v>90</c:v>
                </c:pt>
                <c:pt idx="23">
                  <c:v>100</c:v>
                </c:pt>
                <c:pt idx="24">
                  <c:v>110</c:v>
                </c:pt>
                <c:pt idx="25">
                  <c:v>120</c:v>
                </c:pt>
              </c:numCache>
            </c:numRef>
          </c:xVal>
          <c:yVal>
            <c:numRef>
              <c:f>Sheet2!$B$2:$B$27</c:f>
              <c:numCache>
                <c:formatCode>General</c:formatCode>
                <c:ptCount val="26"/>
                <c:pt idx="0">
                  <c:v>4.4407894736842073E-4</c:v>
                </c:pt>
                <c:pt idx="1">
                  <c:v>1.702786377708978E-3</c:v>
                </c:pt>
                <c:pt idx="2">
                  <c:v>3.2033668730650153E-3</c:v>
                </c:pt>
                <c:pt idx="3">
                  <c:v>4.667182662538699E-3</c:v>
                </c:pt>
                <c:pt idx="4">
                  <c:v>4.8084365325077394E-3</c:v>
                </c:pt>
                <c:pt idx="5">
                  <c:v>5.4624613003095967E-3</c:v>
                </c:pt>
                <c:pt idx="6">
                  <c:v>6.7337461300309587E-3</c:v>
                </c:pt>
                <c:pt idx="7">
                  <c:v>7.6335139318885444E-3</c:v>
                </c:pt>
                <c:pt idx="8">
                  <c:v>7.8753869969040245E-3</c:v>
                </c:pt>
                <c:pt idx="9">
                  <c:v>8.5429566563467486E-3</c:v>
                </c:pt>
                <c:pt idx="10">
                  <c:v>1.2712848297213624E-2</c:v>
                </c:pt>
                <c:pt idx="11">
                  <c:v>1.6640866873065013E-2</c:v>
                </c:pt>
                <c:pt idx="12">
                  <c:v>1.6611842105263161E-2</c:v>
                </c:pt>
                <c:pt idx="13">
                  <c:v>1.8401702786377705E-2</c:v>
                </c:pt>
                <c:pt idx="14">
                  <c:v>2.0452786377708976E-2</c:v>
                </c:pt>
                <c:pt idx="15">
                  <c:v>2.1410603715170277E-2</c:v>
                </c:pt>
                <c:pt idx="16">
                  <c:v>2.1478328173374615E-2</c:v>
                </c:pt>
                <c:pt idx="17">
                  <c:v>2.3287538699690403E-2</c:v>
                </c:pt>
                <c:pt idx="18">
                  <c:v>2.430340557275542E-2</c:v>
                </c:pt>
                <c:pt idx="19">
                  <c:v>2.389705882352941E-2</c:v>
                </c:pt>
                <c:pt idx="20">
                  <c:v>2.6373839009287924E-2</c:v>
                </c:pt>
                <c:pt idx="21">
                  <c:v>2.8492647058823525E-2</c:v>
                </c:pt>
                <c:pt idx="22">
                  <c:v>2.910216718266254E-2</c:v>
                </c:pt>
                <c:pt idx="23">
                  <c:v>2.9740712074303406E-2</c:v>
                </c:pt>
                <c:pt idx="24">
                  <c:v>3.0466331269349847E-2</c:v>
                </c:pt>
                <c:pt idx="25">
                  <c:v>3.0669504643962849E-2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7F-40CD-BFA8-586EC7746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43039"/>
        <c:axId val="1486142559"/>
      </c:scatterChart>
      <c:valAx>
        <c:axId val="1486143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42559"/>
        <c:crosses val="autoZero"/>
        <c:crossBetween val="midCat"/>
      </c:valAx>
      <c:valAx>
        <c:axId val="14861425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Conc.[ Qt (mg/ml)]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4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First Order Release Kinetics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Conc. [Log Qt (mg/ml)]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Sheet3!$A$2:$A$27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  <c:pt idx="18">
                  <c:v>55</c:v>
                </c:pt>
                <c:pt idx="19">
                  <c:v>60</c:v>
                </c:pt>
                <c:pt idx="20">
                  <c:v>70</c:v>
                </c:pt>
                <c:pt idx="21">
                  <c:v>80</c:v>
                </c:pt>
                <c:pt idx="22">
                  <c:v>90</c:v>
                </c:pt>
                <c:pt idx="23">
                  <c:v>100</c:v>
                </c:pt>
                <c:pt idx="24">
                  <c:v>110</c:v>
                </c:pt>
                <c:pt idx="25">
                  <c:v>120</c:v>
                </c:pt>
              </c:numCache>
            </c:numRef>
          </c:xVal>
          <c:yVal>
            <c:numRef>
              <c:f>Sheet3!$B$2:$B$27</c:f>
              <c:numCache>
                <c:formatCode>General</c:formatCode>
                <c:ptCount val="26"/>
                <c:pt idx="0">
                  <c:v>-3.3525398151137478</c:v>
                </c:pt>
                <c:pt idx="1">
                  <c:v>-2.7688398328368593</c:v>
                </c:pt>
                <c:pt idx="2">
                  <c:v>-2.4943933198989403</c:v>
                </c:pt>
                <c:pt idx="3">
                  <c:v>-2.3309452015189138</c:v>
                </c:pt>
                <c:pt idx="4">
                  <c:v>-2.3179961119176768</c:v>
                </c:pt>
                <c:pt idx="5">
                  <c:v>-2.2626116268401084</c:v>
                </c:pt>
                <c:pt idx="6">
                  <c:v>-2.1717432610404468</c:v>
                </c:pt>
                <c:pt idx="7">
                  <c:v>-2.1172754974415886</c:v>
                </c:pt>
                <c:pt idx="8">
                  <c:v>-2.1037280957618076</c:v>
                </c:pt>
                <c:pt idx="9">
                  <c:v>-2.0683917970734402</c:v>
                </c:pt>
                <c:pt idx="10">
                  <c:v>-1.8957571354272469</c:v>
                </c:pt>
                <c:pt idx="11">
                  <c:v>-1.7788240537434601</c:v>
                </c:pt>
                <c:pt idx="12">
                  <c:v>-1.7795822054900923</c:v>
                </c:pt>
                <c:pt idx="13">
                  <c:v>-1.7351419880496137</c:v>
                </c:pt>
                <c:pt idx="14">
                  <c:v>-1.6892475176796014</c:v>
                </c:pt>
                <c:pt idx="15">
                  <c:v>-1.669371086723751</c:v>
                </c:pt>
                <c:pt idx="16">
                  <c:v>-1.6679995262003702</c:v>
                </c:pt>
                <c:pt idx="17">
                  <c:v>-1.632876410375979</c:v>
                </c:pt>
                <c:pt idx="18">
                  <c:v>-1.6143328655858504</c:v>
                </c:pt>
                <c:pt idx="19">
                  <c:v>-1.6216555473913432</c:v>
                </c:pt>
                <c:pt idx="20">
                  <c:v>-1.5788266491523542</c:v>
                </c:pt>
                <c:pt idx="21">
                  <c:v>-1.5452672015278885</c:v>
                </c:pt>
                <c:pt idx="22">
                  <c:v>-1.5360746687314042</c:v>
                </c:pt>
                <c:pt idx="23">
                  <c:v>-1.5266486374872825</c:v>
                </c:pt>
                <c:pt idx="24">
                  <c:v>-1.516179840014465</c:v>
                </c:pt>
                <c:pt idx="25">
                  <c:v>-1.5132932384332574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6-43E1-BDD1-403A5EEC0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89599"/>
        <c:axId val="1486180959"/>
      </c:scatterChart>
      <c:valAx>
        <c:axId val="1486189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80959"/>
        <c:crossesAt val="-4"/>
        <c:crossBetween val="midCat"/>
      </c:valAx>
      <c:valAx>
        <c:axId val="1486180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Conc. [Log Qt (mg/ml)]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89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Higuchi Release Kinetics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Conc.[ Qt (mg/ml)]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Sheet4!$A$2:$A$27</c:f>
              <c:numCache>
                <c:formatCode>General</c:formatCode>
                <c:ptCount val="26"/>
                <c:pt idx="0">
                  <c:v>1</c:v>
                </c:pt>
                <c:pt idx="1">
                  <c:v>1.4142135623730951</c:v>
                </c:pt>
                <c:pt idx="2">
                  <c:v>1.7320508075688772</c:v>
                </c:pt>
                <c:pt idx="3">
                  <c:v>2</c:v>
                </c:pt>
                <c:pt idx="4">
                  <c:v>2.2360679774997898</c:v>
                </c:pt>
                <c:pt idx="5">
                  <c:v>2.4494897427831779</c:v>
                </c:pt>
                <c:pt idx="6">
                  <c:v>2.6457513110645907</c:v>
                </c:pt>
                <c:pt idx="7">
                  <c:v>2.8284271247461903</c:v>
                </c:pt>
                <c:pt idx="8">
                  <c:v>3</c:v>
                </c:pt>
                <c:pt idx="9">
                  <c:v>3.1622776601683795</c:v>
                </c:pt>
                <c:pt idx="10">
                  <c:v>3.872983346207417</c:v>
                </c:pt>
                <c:pt idx="11">
                  <c:v>4.4721359549995796</c:v>
                </c:pt>
                <c:pt idx="12">
                  <c:v>5</c:v>
                </c:pt>
                <c:pt idx="13">
                  <c:v>5.4772255750516612</c:v>
                </c:pt>
                <c:pt idx="14">
                  <c:v>5.9160797830996161</c:v>
                </c:pt>
                <c:pt idx="15">
                  <c:v>6.324555320336759</c:v>
                </c:pt>
                <c:pt idx="16">
                  <c:v>6.7082039324993694</c:v>
                </c:pt>
                <c:pt idx="17">
                  <c:v>7.0710678118654755</c:v>
                </c:pt>
                <c:pt idx="18">
                  <c:v>7.416198487095663</c:v>
                </c:pt>
                <c:pt idx="19">
                  <c:v>7.745966692414834</c:v>
                </c:pt>
                <c:pt idx="20">
                  <c:v>8.3666002653407556</c:v>
                </c:pt>
                <c:pt idx="21">
                  <c:v>8.9442719099991592</c:v>
                </c:pt>
                <c:pt idx="22">
                  <c:v>9.4868329805051381</c:v>
                </c:pt>
                <c:pt idx="23">
                  <c:v>10</c:v>
                </c:pt>
                <c:pt idx="24">
                  <c:v>10.488088481701515</c:v>
                </c:pt>
                <c:pt idx="25">
                  <c:v>10.954451150103322</c:v>
                </c:pt>
              </c:numCache>
            </c:numRef>
          </c:xVal>
          <c:yVal>
            <c:numRef>
              <c:f>Sheet4!$B$2:$B$27</c:f>
              <c:numCache>
                <c:formatCode>General</c:formatCode>
                <c:ptCount val="26"/>
                <c:pt idx="0">
                  <c:v>4.4407894736842073E-4</c:v>
                </c:pt>
                <c:pt idx="1">
                  <c:v>1.702786377708978E-3</c:v>
                </c:pt>
                <c:pt idx="2">
                  <c:v>3.2033668730650153E-3</c:v>
                </c:pt>
                <c:pt idx="3">
                  <c:v>4.667182662538699E-3</c:v>
                </c:pt>
                <c:pt idx="4">
                  <c:v>4.8084365325077394E-3</c:v>
                </c:pt>
                <c:pt idx="5">
                  <c:v>5.4624613003095967E-3</c:v>
                </c:pt>
                <c:pt idx="6">
                  <c:v>6.7337461300309587E-3</c:v>
                </c:pt>
                <c:pt idx="7">
                  <c:v>7.6335139318885444E-3</c:v>
                </c:pt>
                <c:pt idx="8">
                  <c:v>7.8753869969040245E-3</c:v>
                </c:pt>
                <c:pt idx="9">
                  <c:v>8.5429566563467486E-3</c:v>
                </c:pt>
                <c:pt idx="10">
                  <c:v>1.2712848297213624E-2</c:v>
                </c:pt>
                <c:pt idx="11">
                  <c:v>1.6640866873065013E-2</c:v>
                </c:pt>
                <c:pt idx="12">
                  <c:v>1.6611842105263161E-2</c:v>
                </c:pt>
                <c:pt idx="13">
                  <c:v>1.8401702786377705E-2</c:v>
                </c:pt>
                <c:pt idx="14">
                  <c:v>2.0452786377708976E-2</c:v>
                </c:pt>
                <c:pt idx="15">
                  <c:v>2.1410603715170277E-2</c:v>
                </c:pt>
                <c:pt idx="16">
                  <c:v>2.1478328173374615E-2</c:v>
                </c:pt>
                <c:pt idx="17">
                  <c:v>2.3287538699690403E-2</c:v>
                </c:pt>
                <c:pt idx="18">
                  <c:v>2.430340557275542E-2</c:v>
                </c:pt>
                <c:pt idx="19">
                  <c:v>2.389705882352941E-2</c:v>
                </c:pt>
                <c:pt idx="20">
                  <c:v>2.6373839009287924E-2</c:v>
                </c:pt>
                <c:pt idx="21">
                  <c:v>2.8492647058823525E-2</c:v>
                </c:pt>
                <c:pt idx="22">
                  <c:v>2.910216718266254E-2</c:v>
                </c:pt>
                <c:pt idx="23">
                  <c:v>2.9740712074303406E-2</c:v>
                </c:pt>
                <c:pt idx="24">
                  <c:v>3.0466331269349847E-2</c:v>
                </c:pt>
                <c:pt idx="25">
                  <c:v>3.0669504643962849E-2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C-4214-9F5A-71FC641C6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455807"/>
        <c:axId val="749457727"/>
      </c:scatterChart>
      <c:valAx>
        <c:axId val="749455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r>
                  <a:rPr lang="en-US" baseline="30000"/>
                  <a:t>1/2 </a:t>
                </a:r>
                <a:r>
                  <a:rPr lang="en-US" baseline="0"/>
                  <a:t>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57727"/>
        <c:crosses val="autoZero"/>
        <c:crossBetween val="midCat"/>
      </c:valAx>
      <c:valAx>
        <c:axId val="7494577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Conc.[ Qt (mg/ml)]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5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335280</xdr:colOff>
      <xdr:row>9</xdr:row>
      <xdr:rowOff>156210</xdr:rowOff>
    </xdr:from>
    <xdr:to>
      <xdr:col>16</xdr:col>
      <xdr:colOff>243840</xdr:colOff>
      <xdr:row>24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D29696-D97A-68DB-3D5F-F78325113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6</xdr:row>
      <xdr:rowOff>148590</xdr:rowOff>
    </xdr:from>
    <xdr:to>
      <xdr:col>14</xdr:col>
      <xdr:colOff>15240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A9557-FD51-9BB5-0DCE-9158E78FA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6</xdr:row>
      <xdr:rowOff>148590</xdr:rowOff>
    </xdr:from>
    <xdr:to>
      <xdr:col>13</xdr:col>
      <xdr:colOff>502920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7A2B1-DD6A-0AEA-E2A2-BB795B8DF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6</xdr:row>
      <xdr:rowOff>148590</xdr:rowOff>
    </xdr:from>
    <xdr:to>
      <xdr:col>13</xdr:col>
      <xdr:colOff>327660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7E329-D3D3-5064-3F0F-C8DE6BEA3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E865-A919-4E86-A32C-589053BD8009}">
  <dimension ref="A1:Q27"/>
  <sheetViews>
    <sheetView tabSelected="1" workbookViewId="0">
      <selection sqref="A1:A27"/>
    </sheetView>
  </sheetViews>
  <sheetFormatPr defaultRowHeight="14.4" x14ac:dyDescent="0.3"/>
  <cols>
    <col min="1" max="1" width="13.44140625" customWidth="1"/>
    <col min="2" max="2" width="12.6640625" customWidth="1"/>
    <col min="3" max="3" width="16.6640625" customWidth="1"/>
    <col min="4" max="4" width="20.6640625" customWidth="1"/>
    <col min="5" max="5" width="13.88671875" customWidth="1"/>
    <col min="9" max="9" width="19.88671875" bestFit="1" customWidth="1"/>
    <col min="15" max="15" width="12.33203125" customWidth="1"/>
    <col min="16" max="16" width="11.21875" customWidth="1"/>
    <col min="17" max="17" width="13.44140625" customWidth="1"/>
  </cols>
  <sheetData>
    <row r="1" spans="1:17" ht="16.2" x14ac:dyDescent="0.3">
      <c r="A1" t="s">
        <v>9</v>
      </c>
      <c r="B1" t="s">
        <v>0</v>
      </c>
      <c r="C1" t="s">
        <v>10</v>
      </c>
      <c r="D1" t="s">
        <v>11</v>
      </c>
      <c r="E1" t="s">
        <v>8</v>
      </c>
    </row>
    <row r="2" spans="1:17" x14ac:dyDescent="0.3">
      <c r="A2">
        <v>1</v>
      </c>
      <c r="B2">
        <v>4.199E-2</v>
      </c>
      <c r="C2">
        <f>(B2-0.0374)/10.336</f>
        <v>4.4407894736842073E-4</v>
      </c>
      <c r="D2">
        <f>LOG(C2)</f>
        <v>-3.3525398151137478</v>
      </c>
      <c r="E2">
        <f>SQRT(A2)</f>
        <v>1</v>
      </c>
    </row>
    <row r="3" spans="1:17" x14ac:dyDescent="0.3">
      <c r="A3">
        <v>2</v>
      </c>
      <c r="B3">
        <v>5.5E-2</v>
      </c>
      <c r="C3">
        <f t="shared" ref="C3:C27" si="0">(B3-0.0374)/10.336</f>
        <v>1.702786377708978E-3</v>
      </c>
      <c r="D3">
        <f t="shared" ref="D3:D27" si="1">LOG(C3)</f>
        <v>-2.7688398328368593</v>
      </c>
      <c r="E3">
        <f t="shared" ref="E3:E27" si="2">SQRT(A3)</f>
        <v>1.4142135623730951</v>
      </c>
    </row>
    <row r="4" spans="1:17" x14ac:dyDescent="0.3">
      <c r="A4">
        <f t="shared" ref="A4:A10" si="3">A3+1</f>
        <v>3</v>
      </c>
      <c r="B4">
        <v>7.0510000000000003E-2</v>
      </c>
      <c r="C4">
        <f t="shared" si="0"/>
        <v>3.2033668730650153E-3</v>
      </c>
      <c r="D4">
        <f t="shared" si="1"/>
        <v>-2.4943933198989403</v>
      </c>
      <c r="E4">
        <f t="shared" si="2"/>
        <v>1.7320508075688772</v>
      </c>
    </row>
    <row r="5" spans="1:17" x14ac:dyDescent="0.3">
      <c r="A5">
        <f t="shared" si="3"/>
        <v>4</v>
      </c>
      <c r="B5">
        <v>8.5639999999999994E-2</v>
      </c>
      <c r="C5">
        <f t="shared" si="0"/>
        <v>4.667182662538699E-3</v>
      </c>
      <c r="D5">
        <f t="shared" si="1"/>
        <v>-2.3309452015189138</v>
      </c>
      <c r="E5">
        <f t="shared" si="2"/>
        <v>2</v>
      </c>
      <c r="O5" t="s">
        <v>2</v>
      </c>
      <c r="P5" t="s">
        <v>1</v>
      </c>
      <c r="Q5" t="s">
        <v>6</v>
      </c>
    </row>
    <row r="6" spans="1:17" x14ac:dyDescent="0.3">
      <c r="A6">
        <f t="shared" si="3"/>
        <v>5</v>
      </c>
      <c r="B6">
        <v>8.7099999999999997E-2</v>
      </c>
      <c r="C6">
        <f t="shared" si="0"/>
        <v>4.8084365325077394E-3</v>
      </c>
      <c r="D6">
        <f t="shared" si="1"/>
        <v>-2.3179961119176768</v>
      </c>
      <c r="E6">
        <f t="shared" si="2"/>
        <v>2.2360679774997898</v>
      </c>
      <c r="O6" t="s">
        <v>3</v>
      </c>
      <c r="P6">
        <v>0.02</v>
      </c>
      <c r="Q6">
        <v>0.24410000000000001</v>
      </c>
    </row>
    <row r="7" spans="1:17" x14ac:dyDescent="0.3">
      <c r="A7">
        <f t="shared" si="3"/>
        <v>6</v>
      </c>
      <c r="B7">
        <v>9.3859999999999999E-2</v>
      </c>
      <c r="C7">
        <f t="shared" si="0"/>
        <v>5.4624613003095967E-3</v>
      </c>
      <c r="D7">
        <f t="shared" si="1"/>
        <v>-2.2626116268401084</v>
      </c>
      <c r="E7">
        <f t="shared" si="2"/>
        <v>2.4494897427831779</v>
      </c>
      <c r="O7" t="s">
        <v>4</v>
      </c>
      <c r="P7">
        <v>2E-3</v>
      </c>
      <c r="Q7">
        <v>5.8900000000000001E-2</v>
      </c>
    </row>
    <row r="8" spans="1:17" x14ac:dyDescent="0.3">
      <c r="A8">
        <f t="shared" si="3"/>
        <v>7</v>
      </c>
      <c r="B8">
        <v>0.107</v>
      </c>
      <c r="C8">
        <f t="shared" si="0"/>
        <v>6.7337461300309587E-3</v>
      </c>
      <c r="D8">
        <f t="shared" si="1"/>
        <v>-2.1717432610404468</v>
      </c>
      <c r="E8">
        <f t="shared" si="2"/>
        <v>2.6457513110645907</v>
      </c>
      <c r="I8" s="1" t="s">
        <v>7</v>
      </c>
      <c r="O8" t="s">
        <v>5</v>
      </c>
      <c r="P8">
        <v>2.0000000000000001E-4</v>
      </c>
      <c r="Q8">
        <v>3.8800000000000001E-2</v>
      </c>
    </row>
    <row r="9" spans="1:17" x14ac:dyDescent="0.3">
      <c r="A9">
        <f t="shared" si="3"/>
        <v>8</v>
      </c>
      <c r="B9">
        <v>0.1163</v>
      </c>
      <c r="C9">
        <f t="shared" si="0"/>
        <v>7.6335139318885444E-3</v>
      </c>
      <c r="D9">
        <f t="shared" si="1"/>
        <v>-2.1172754974415886</v>
      </c>
      <c r="E9">
        <f t="shared" si="2"/>
        <v>2.8284271247461903</v>
      </c>
    </row>
    <row r="10" spans="1:17" x14ac:dyDescent="0.3">
      <c r="A10">
        <f t="shared" si="3"/>
        <v>9</v>
      </c>
      <c r="B10">
        <v>0.1188</v>
      </c>
      <c r="C10">
        <f t="shared" si="0"/>
        <v>7.8753869969040245E-3</v>
      </c>
      <c r="D10">
        <f t="shared" si="1"/>
        <v>-2.1037280957618076</v>
      </c>
      <c r="E10">
        <f t="shared" si="2"/>
        <v>3</v>
      </c>
      <c r="I10" s="2" t="s">
        <v>13</v>
      </c>
    </row>
    <row r="11" spans="1:17" x14ac:dyDescent="0.3">
      <c r="A11">
        <v>10</v>
      </c>
      <c r="B11">
        <v>0.12570000000000001</v>
      </c>
      <c r="C11">
        <f t="shared" si="0"/>
        <v>8.5429566563467486E-3</v>
      </c>
      <c r="D11">
        <f t="shared" si="1"/>
        <v>-2.0683917970734402</v>
      </c>
      <c r="E11">
        <f t="shared" si="2"/>
        <v>3.1622776601683795</v>
      </c>
      <c r="I11" t="s">
        <v>14</v>
      </c>
    </row>
    <row r="12" spans="1:17" x14ac:dyDescent="0.3">
      <c r="A12">
        <v>15</v>
      </c>
      <c r="B12">
        <v>0.16880000000000001</v>
      </c>
      <c r="C12">
        <f t="shared" si="0"/>
        <v>1.2712848297213624E-2</v>
      </c>
      <c r="D12">
        <f t="shared" si="1"/>
        <v>-1.8957571354272469</v>
      </c>
      <c r="E12">
        <f t="shared" si="2"/>
        <v>3.872983346207417</v>
      </c>
    </row>
    <row r="13" spans="1:17" x14ac:dyDescent="0.3">
      <c r="A13">
        <v>20</v>
      </c>
      <c r="B13">
        <v>0.2094</v>
      </c>
      <c r="C13">
        <f t="shared" si="0"/>
        <v>1.6640866873065013E-2</v>
      </c>
      <c r="D13">
        <f t="shared" si="1"/>
        <v>-1.7788240537434601</v>
      </c>
      <c r="E13">
        <f t="shared" si="2"/>
        <v>4.4721359549995796</v>
      </c>
    </row>
    <row r="14" spans="1:17" x14ac:dyDescent="0.3">
      <c r="A14">
        <v>25</v>
      </c>
      <c r="B14">
        <v>0.20910000000000001</v>
      </c>
      <c r="C14">
        <f t="shared" si="0"/>
        <v>1.6611842105263161E-2</v>
      </c>
      <c r="D14">
        <f t="shared" si="1"/>
        <v>-1.7795822054900923</v>
      </c>
      <c r="E14">
        <f t="shared" si="2"/>
        <v>5</v>
      </c>
    </row>
    <row r="15" spans="1:17" x14ac:dyDescent="0.3">
      <c r="A15">
        <v>30</v>
      </c>
      <c r="B15">
        <v>0.2276</v>
      </c>
      <c r="C15">
        <f t="shared" si="0"/>
        <v>1.8401702786377705E-2</v>
      </c>
      <c r="D15">
        <f t="shared" si="1"/>
        <v>-1.7351419880496137</v>
      </c>
      <c r="E15">
        <f t="shared" si="2"/>
        <v>5.4772255750516612</v>
      </c>
    </row>
    <row r="16" spans="1:17" x14ac:dyDescent="0.3">
      <c r="A16">
        <v>35</v>
      </c>
      <c r="B16">
        <v>0.24879999999999999</v>
      </c>
      <c r="C16">
        <f t="shared" si="0"/>
        <v>2.0452786377708976E-2</v>
      </c>
      <c r="D16">
        <f t="shared" si="1"/>
        <v>-1.6892475176796014</v>
      </c>
      <c r="E16">
        <f t="shared" si="2"/>
        <v>5.9160797830996161</v>
      </c>
    </row>
    <row r="17" spans="1:5" x14ac:dyDescent="0.3">
      <c r="A17">
        <v>40</v>
      </c>
      <c r="B17">
        <v>0.25869999999999999</v>
      </c>
      <c r="C17">
        <f t="shared" si="0"/>
        <v>2.1410603715170277E-2</v>
      </c>
      <c r="D17">
        <f t="shared" si="1"/>
        <v>-1.669371086723751</v>
      </c>
      <c r="E17">
        <f t="shared" si="2"/>
        <v>6.324555320336759</v>
      </c>
    </row>
    <row r="18" spans="1:5" x14ac:dyDescent="0.3">
      <c r="A18">
        <v>45</v>
      </c>
      <c r="B18">
        <v>0.25940000000000002</v>
      </c>
      <c r="C18">
        <f t="shared" si="0"/>
        <v>2.1478328173374615E-2</v>
      </c>
      <c r="D18">
        <f t="shared" si="1"/>
        <v>-1.6679995262003702</v>
      </c>
      <c r="E18">
        <f t="shared" si="2"/>
        <v>6.7082039324993694</v>
      </c>
    </row>
    <row r="19" spans="1:5" x14ac:dyDescent="0.3">
      <c r="A19">
        <v>50</v>
      </c>
      <c r="B19">
        <v>0.27810000000000001</v>
      </c>
      <c r="C19">
        <f t="shared" si="0"/>
        <v>2.3287538699690403E-2</v>
      </c>
      <c r="D19">
        <f t="shared" si="1"/>
        <v>-1.632876410375979</v>
      </c>
      <c r="E19">
        <f t="shared" si="2"/>
        <v>7.0710678118654755</v>
      </c>
    </row>
    <row r="20" spans="1:5" x14ac:dyDescent="0.3">
      <c r="A20">
        <v>55</v>
      </c>
      <c r="B20">
        <v>0.28860000000000002</v>
      </c>
      <c r="C20">
        <f t="shared" si="0"/>
        <v>2.430340557275542E-2</v>
      </c>
      <c r="D20">
        <f t="shared" si="1"/>
        <v>-1.6143328655858504</v>
      </c>
      <c r="E20">
        <f t="shared" si="2"/>
        <v>7.416198487095663</v>
      </c>
    </row>
    <row r="21" spans="1:5" x14ac:dyDescent="0.3">
      <c r="A21">
        <v>60</v>
      </c>
      <c r="B21">
        <v>0.28439999999999999</v>
      </c>
      <c r="C21">
        <f t="shared" si="0"/>
        <v>2.389705882352941E-2</v>
      </c>
      <c r="D21">
        <f t="shared" si="1"/>
        <v>-1.6216555473913432</v>
      </c>
      <c r="E21">
        <f t="shared" si="2"/>
        <v>7.745966692414834</v>
      </c>
    </row>
    <row r="22" spans="1:5" x14ac:dyDescent="0.3">
      <c r="A22">
        <v>70</v>
      </c>
      <c r="B22">
        <v>0.31</v>
      </c>
      <c r="C22">
        <f t="shared" si="0"/>
        <v>2.6373839009287924E-2</v>
      </c>
      <c r="D22">
        <f t="shared" si="1"/>
        <v>-1.5788266491523542</v>
      </c>
      <c r="E22">
        <f t="shared" si="2"/>
        <v>8.3666002653407556</v>
      </c>
    </row>
    <row r="23" spans="1:5" x14ac:dyDescent="0.3">
      <c r="A23">
        <v>80</v>
      </c>
      <c r="B23">
        <v>0.33189999999999997</v>
      </c>
      <c r="C23">
        <f t="shared" si="0"/>
        <v>2.8492647058823525E-2</v>
      </c>
      <c r="D23">
        <f t="shared" si="1"/>
        <v>-1.5452672015278885</v>
      </c>
      <c r="E23">
        <f t="shared" si="2"/>
        <v>8.9442719099991592</v>
      </c>
    </row>
    <row r="24" spans="1:5" x14ac:dyDescent="0.3">
      <c r="A24">
        <v>90</v>
      </c>
      <c r="B24">
        <v>0.3382</v>
      </c>
      <c r="C24">
        <f t="shared" si="0"/>
        <v>2.910216718266254E-2</v>
      </c>
      <c r="D24">
        <f t="shared" si="1"/>
        <v>-1.5360746687314042</v>
      </c>
      <c r="E24">
        <f t="shared" si="2"/>
        <v>9.4868329805051381</v>
      </c>
    </row>
    <row r="25" spans="1:5" x14ac:dyDescent="0.3">
      <c r="A25">
        <v>100</v>
      </c>
      <c r="B25">
        <v>0.3448</v>
      </c>
      <c r="C25">
        <f t="shared" si="0"/>
        <v>2.9740712074303406E-2</v>
      </c>
      <c r="D25">
        <f t="shared" si="1"/>
        <v>-1.5266486374872825</v>
      </c>
      <c r="E25">
        <f t="shared" si="2"/>
        <v>10</v>
      </c>
    </row>
    <row r="26" spans="1:5" x14ac:dyDescent="0.3">
      <c r="A26">
        <v>110</v>
      </c>
      <c r="B26">
        <v>0.3523</v>
      </c>
      <c r="C26">
        <f t="shared" si="0"/>
        <v>3.0466331269349847E-2</v>
      </c>
      <c r="D26">
        <f t="shared" si="1"/>
        <v>-1.516179840014465</v>
      </c>
      <c r="E26">
        <f t="shared" si="2"/>
        <v>10.488088481701515</v>
      </c>
    </row>
    <row r="27" spans="1:5" x14ac:dyDescent="0.3">
      <c r="A27">
        <v>120</v>
      </c>
      <c r="B27">
        <v>0.35439999999999999</v>
      </c>
      <c r="C27">
        <f t="shared" si="0"/>
        <v>3.0669504643962849E-2</v>
      </c>
      <c r="D27">
        <f t="shared" si="1"/>
        <v>-1.5132932384332574</v>
      </c>
      <c r="E27">
        <f t="shared" si="2"/>
        <v>10.954451150103322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0C82-D4C4-4339-93F0-BE5CA3B3DF9D}">
  <dimension ref="A1:B27"/>
  <sheetViews>
    <sheetView workbookViewId="0">
      <selection activeCell="J24" sqref="J24"/>
    </sheetView>
  </sheetViews>
  <sheetFormatPr defaultRowHeight="14.4" x14ac:dyDescent="0.3"/>
  <cols>
    <col min="1" max="1" width="13.109375" customWidth="1"/>
    <col min="2" max="2" width="16.6640625" customWidth="1"/>
  </cols>
  <sheetData>
    <row r="1" spans="1:2" x14ac:dyDescent="0.3">
      <c r="A1" t="s">
        <v>9</v>
      </c>
      <c r="B1" t="s">
        <v>10</v>
      </c>
    </row>
    <row r="2" spans="1:2" x14ac:dyDescent="0.3">
      <c r="A2">
        <v>1</v>
      </c>
      <c r="B2">
        <v>4.4407894736842073E-4</v>
      </c>
    </row>
    <row r="3" spans="1:2" x14ac:dyDescent="0.3">
      <c r="A3">
        <v>2</v>
      </c>
      <c r="B3">
        <v>1.702786377708978E-3</v>
      </c>
    </row>
    <row r="4" spans="1:2" x14ac:dyDescent="0.3">
      <c r="A4">
        <f t="shared" ref="A4:A10" si="0">A3+1</f>
        <v>3</v>
      </c>
      <c r="B4">
        <v>3.2033668730650153E-3</v>
      </c>
    </row>
    <row r="5" spans="1:2" x14ac:dyDescent="0.3">
      <c r="A5">
        <f t="shared" si="0"/>
        <v>4</v>
      </c>
      <c r="B5">
        <v>4.667182662538699E-3</v>
      </c>
    </row>
    <row r="6" spans="1:2" x14ac:dyDescent="0.3">
      <c r="A6">
        <f t="shared" si="0"/>
        <v>5</v>
      </c>
      <c r="B6">
        <v>4.8084365325077394E-3</v>
      </c>
    </row>
    <row r="7" spans="1:2" x14ac:dyDescent="0.3">
      <c r="A7">
        <f t="shared" si="0"/>
        <v>6</v>
      </c>
      <c r="B7">
        <v>5.4624613003095967E-3</v>
      </c>
    </row>
    <row r="8" spans="1:2" x14ac:dyDescent="0.3">
      <c r="A8">
        <f t="shared" si="0"/>
        <v>7</v>
      </c>
      <c r="B8">
        <v>6.7337461300309587E-3</v>
      </c>
    </row>
    <row r="9" spans="1:2" x14ac:dyDescent="0.3">
      <c r="A9">
        <f t="shared" si="0"/>
        <v>8</v>
      </c>
      <c r="B9">
        <v>7.6335139318885444E-3</v>
      </c>
    </row>
    <row r="10" spans="1:2" x14ac:dyDescent="0.3">
      <c r="A10">
        <f t="shared" si="0"/>
        <v>9</v>
      </c>
      <c r="B10">
        <v>7.8753869969040245E-3</v>
      </c>
    </row>
    <row r="11" spans="1:2" x14ac:dyDescent="0.3">
      <c r="A11">
        <v>10</v>
      </c>
      <c r="B11">
        <v>8.5429566563467486E-3</v>
      </c>
    </row>
    <row r="12" spans="1:2" x14ac:dyDescent="0.3">
      <c r="A12">
        <v>15</v>
      </c>
      <c r="B12">
        <v>1.2712848297213624E-2</v>
      </c>
    </row>
    <row r="13" spans="1:2" x14ac:dyDescent="0.3">
      <c r="A13">
        <v>20</v>
      </c>
      <c r="B13">
        <v>1.6640866873065013E-2</v>
      </c>
    </row>
    <row r="14" spans="1:2" x14ac:dyDescent="0.3">
      <c r="A14">
        <v>25</v>
      </c>
      <c r="B14">
        <v>1.6611842105263161E-2</v>
      </c>
    </row>
    <row r="15" spans="1:2" x14ac:dyDescent="0.3">
      <c r="A15">
        <v>30</v>
      </c>
      <c r="B15">
        <v>1.8401702786377705E-2</v>
      </c>
    </row>
    <row r="16" spans="1:2" x14ac:dyDescent="0.3">
      <c r="A16">
        <v>35</v>
      </c>
      <c r="B16">
        <v>2.0452786377708976E-2</v>
      </c>
    </row>
    <row r="17" spans="1:2" x14ac:dyDescent="0.3">
      <c r="A17">
        <v>40</v>
      </c>
      <c r="B17">
        <v>2.1410603715170277E-2</v>
      </c>
    </row>
    <row r="18" spans="1:2" x14ac:dyDescent="0.3">
      <c r="A18">
        <v>45</v>
      </c>
      <c r="B18">
        <v>2.1478328173374615E-2</v>
      </c>
    </row>
    <row r="19" spans="1:2" x14ac:dyDescent="0.3">
      <c r="A19">
        <v>50</v>
      </c>
      <c r="B19">
        <v>2.3287538699690403E-2</v>
      </c>
    </row>
    <row r="20" spans="1:2" x14ac:dyDescent="0.3">
      <c r="A20">
        <v>55</v>
      </c>
      <c r="B20">
        <v>2.430340557275542E-2</v>
      </c>
    </row>
    <row r="21" spans="1:2" x14ac:dyDescent="0.3">
      <c r="A21">
        <v>60</v>
      </c>
      <c r="B21">
        <v>2.389705882352941E-2</v>
      </c>
    </row>
    <row r="22" spans="1:2" x14ac:dyDescent="0.3">
      <c r="A22">
        <v>70</v>
      </c>
      <c r="B22">
        <v>2.6373839009287924E-2</v>
      </c>
    </row>
    <row r="23" spans="1:2" x14ac:dyDescent="0.3">
      <c r="A23">
        <v>80</v>
      </c>
      <c r="B23">
        <v>2.8492647058823525E-2</v>
      </c>
    </row>
    <row r="24" spans="1:2" x14ac:dyDescent="0.3">
      <c r="A24">
        <v>90</v>
      </c>
      <c r="B24">
        <v>2.910216718266254E-2</v>
      </c>
    </row>
    <row r="25" spans="1:2" x14ac:dyDescent="0.3">
      <c r="A25">
        <v>100</v>
      </c>
      <c r="B25">
        <v>2.9740712074303406E-2</v>
      </c>
    </row>
    <row r="26" spans="1:2" x14ac:dyDescent="0.3">
      <c r="A26">
        <v>110</v>
      </c>
      <c r="B26">
        <v>3.0466331269349847E-2</v>
      </c>
    </row>
    <row r="27" spans="1:2" x14ac:dyDescent="0.3">
      <c r="A27">
        <v>120</v>
      </c>
      <c r="B27">
        <v>3.0669504643962849E-2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62BD-BCE5-4F60-BC77-AD42AE54E581}">
  <dimension ref="A1:B27"/>
  <sheetViews>
    <sheetView workbookViewId="0">
      <selection activeCell="F12" sqref="F12"/>
    </sheetView>
  </sheetViews>
  <sheetFormatPr defaultRowHeight="14.4" x14ac:dyDescent="0.3"/>
  <cols>
    <col min="1" max="1" width="14.21875" customWidth="1"/>
    <col min="2" max="2" width="17.33203125" customWidth="1"/>
  </cols>
  <sheetData>
    <row r="1" spans="1:2" x14ac:dyDescent="0.3">
      <c r="A1" t="s">
        <v>9</v>
      </c>
      <c r="B1" t="s">
        <v>11</v>
      </c>
    </row>
    <row r="2" spans="1:2" x14ac:dyDescent="0.3">
      <c r="A2">
        <v>1</v>
      </c>
      <c r="B2">
        <v>-3.3525398151137478</v>
      </c>
    </row>
    <row r="3" spans="1:2" x14ac:dyDescent="0.3">
      <c r="A3">
        <v>2</v>
      </c>
      <c r="B3">
        <v>-2.7688398328368593</v>
      </c>
    </row>
    <row r="4" spans="1:2" x14ac:dyDescent="0.3">
      <c r="A4">
        <v>3</v>
      </c>
      <c r="B4">
        <v>-2.4943933198989403</v>
      </c>
    </row>
    <row r="5" spans="1:2" x14ac:dyDescent="0.3">
      <c r="A5">
        <v>4</v>
      </c>
      <c r="B5">
        <v>-2.3309452015189138</v>
      </c>
    </row>
    <row r="6" spans="1:2" x14ac:dyDescent="0.3">
      <c r="A6">
        <v>5</v>
      </c>
      <c r="B6">
        <v>-2.3179961119176768</v>
      </c>
    </row>
    <row r="7" spans="1:2" x14ac:dyDescent="0.3">
      <c r="A7">
        <v>6</v>
      </c>
      <c r="B7">
        <v>-2.2626116268401084</v>
      </c>
    </row>
    <row r="8" spans="1:2" x14ac:dyDescent="0.3">
      <c r="A8">
        <v>7</v>
      </c>
      <c r="B8">
        <v>-2.1717432610404468</v>
      </c>
    </row>
    <row r="9" spans="1:2" x14ac:dyDescent="0.3">
      <c r="A9">
        <v>8</v>
      </c>
      <c r="B9">
        <v>-2.1172754974415886</v>
      </c>
    </row>
    <row r="10" spans="1:2" x14ac:dyDescent="0.3">
      <c r="A10">
        <v>9</v>
      </c>
      <c r="B10">
        <v>-2.1037280957618076</v>
      </c>
    </row>
    <row r="11" spans="1:2" x14ac:dyDescent="0.3">
      <c r="A11">
        <v>10</v>
      </c>
      <c r="B11">
        <v>-2.0683917970734402</v>
      </c>
    </row>
    <row r="12" spans="1:2" x14ac:dyDescent="0.3">
      <c r="A12">
        <v>15</v>
      </c>
      <c r="B12">
        <v>-1.8957571354272469</v>
      </c>
    </row>
    <row r="13" spans="1:2" x14ac:dyDescent="0.3">
      <c r="A13">
        <v>20</v>
      </c>
      <c r="B13">
        <v>-1.7788240537434601</v>
      </c>
    </row>
    <row r="14" spans="1:2" x14ac:dyDescent="0.3">
      <c r="A14">
        <v>25</v>
      </c>
      <c r="B14">
        <v>-1.7795822054900923</v>
      </c>
    </row>
    <row r="15" spans="1:2" x14ac:dyDescent="0.3">
      <c r="A15">
        <v>30</v>
      </c>
      <c r="B15">
        <v>-1.7351419880496137</v>
      </c>
    </row>
    <row r="16" spans="1:2" x14ac:dyDescent="0.3">
      <c r="A16">
        <v>35</v>
      </c>
      <c r="B16">
        <v>-1.6892475176796014</v>
      </c>
    </row>
    <row r="17" spans="1:2" x14ac:dyDescent="0.3">
      <c r="A17">
        <v>40</v>
      </c>
      <c r="B17">
        <v>-1.669371086723751</v>
      </c>
    </row>
    <row r="18" spans="1:2" x14ac:dyDescent="0.3">
      <c r="A18">
        <v>45</v>
      </c>
      <c r="B18">
        <v>-1.6679995262003702</v>
      </c>
    </row>
    <row r="19" spans="1:2" x14ac:dyDescent="0.3">
      <c r="A19">
        <v>50</v>
      </c>
      <c r="B19">
        <v>-1.632876410375979</v>
      </c>
    </row>
    <row r="20" spans="1:2" x14ac:dyDescent="0.3">
      <c r="A20">
        <v>55</v>
      </c>
      <c r="B20">
        <v>-1.6143328655858504</v>
      </c>
    </row>
    <row r="21" spans="1:2" x14ac:dyDescent="0.3">
      <c r="A21">
        <v>60</v>
      </c>
      <c r="B21">
        <v>-1.6216555473913432</v>
      </c>
    </row>
    <row r="22" spans="1:2" x14ac:dyDescent="0.3">
      <c r="A22">
        <v>70</v>
      </c>
      <c r="B22">
        <v>-1.5788266491523542</v>
      </c>
    </row>
    <row r="23" spans="1:2" x14ac:dyDescent="0.3">
      <c r="A23">
        <v>80</v>
      </c>
      <c r="B23">
        <v>-1.5452672015278885</v>
      </c>
    </row>
    <row r="24" spans="1:2" x14ac:dyDescent="0.3">
      <c r="A24">
        <v>90</v>
      </c>
      <c r="B24">
        <v>-1.5360746687314042</v>
      </c>
    </row>
    <row r="25" spans="1:2" x14ac:dyDescent="0.3">
      <c r="A25">
        <v>100</v>
      </c>
      <c r="B25">
        <v>-1.5266486374872825</v>
      </c>
    </row>
    <row r="26" spans="1:2" x14ac:dyDescent="0.3">
      <c r="A26">
        <v>110</v>
      </c>
      <c r="B26">
        <v>-1.516179840014465</v>
      </c>
    </row>
    <row r="27" spans="1:2" x14ac:dyDescent="0.3">
      <c r="A27">
        <v>120</v>
      </c>
      <c r="B27">
        <v>-1.5132932384332574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F0AF-A5CF-4795-8894-531B1DD89172}">
  <dimension ref="A1:B27"/>
  <sheetViews>
    <sheetView workbookViewId="0">
      <selection activeCell="N24" sqref="N24"/>
    </sheetView>
  </sheetViews>
  <sheetFormatPr defaultRowHeight="14.4" x14ac:dyDescent="0.3"/>
  <cols>
    <col min="1" max="1" width="15.5546875" customWidth="1"/>
    <col min="2" max="2" width="18.5546875" customWidth="1"/>
  </cols>
  <sheetData>
    <row r="1" spans="1:2" ht="16.2" x14ac:dyDescent="0.3">
      <c r="A1" t="s">
        <v>12</v>
      </c>
      <c r="B1" t="s">
        <v>10</v>
      </c>
    </row>
    <row r="2" spans="1:2" x14ac:dyDescent="0.3">
      <c r="A2">
        <v>1</v>
      </c>
      <c r="B2">
        <v>4.4407894736842073E-4</v>
      </c>
    </row>
    <row r="3" spans="1:2" x14ac:dyDescent="0.3">
      <c r="A3">
        <v>1.4142135623730951</v>
      </c>
      <c r="B3">
        <v>1.702786377708978E-3</v>
      </c>
    </row>
    <row r="4" spans="1:2" x14ac:dyDescent="0.3">
      <c r="A4">
        <v>1.7320508075688772</v>
      </c>
      <c r="B4">
        <v>3.2033668730650153E-3</v>
      </c>
    </row>
    <row r="5" spans="1:2" x14ac:dyDescent="0.3">
      <c r="A5">
        <v>2</v>
      </c>
      <c r="B5">
        <v>4.667182662538699E-3</v>
      </c>
    </row>
    <row r="6" spans="1:2" x14ac:dyDescent="0.3">
      <c r="A6">
        <v>2.2360679774997898</v>
      </c>
      <c r="B6">
        <v>4.8084365325077394E-3</v>
      </c>
    </row>
    <row r="7" spans="1:2" x14ac:dyDescent="0.3">
      <c r="A7">
        <v>2.4494897427831779</v>
      </c>
      <c r="B7">
        <v>5.4624613003095967E-3</v>
      </c>
    </row>
    <row r="8" spans="1:2" x14ac:dyDescent="0.3">
      <c r="A8">
        <v>2.6457513110645907</v>
      </c>
      <c r="B8">
        <v>6.7337461300309587E-3</v>
      </c>
    </row>
    <row r="9" spans="1:2" x14ac:dyDescent="0.3">
      <c r="A9">
        <v>2.8284271247461903</v>
      </c>
      <c r="B9">
        <v>7.6335139318885444E-3</v>
      </c>
    </row>
    <row r="10" spans="1:2" x14ac:dyDescent="0.3">
      <c r="A10">
        <v>3</v>
      </c>
      <c r="B10">
        <v>7.8753869969040245E-3</v>
      </c>
    </row>
    <row r="11" spans="1:2" x14ac:dyDescent="0.3">
      <c r="A11">
        <v>3.1622776601683795</v>
      </c>
      <c r="B11">
        <v>8.5429566563467486E-3</v>
      </c>
    </row>
    <row r="12" spans="1:2" x14ac:dyDescent="0.3">
      <c r="A12">
        <v>3.872983346207417</v>
      </c>
      <c r="B12">
        <v>1.2712848297213624E-2</v>
      </c>
    </row>
    <row r="13" spans="1:2" x14ac:dyDescent="0.3">
      <c r="A13">
        <v>4.4721359549995796</v>
      </c>
      <c r="B13">
        <v>1.6640866873065013E-2</v>
      </c>
    </row>
    <row r="14" spans="1:2" x14ac:dyDescent="0.3">
      <c r="A14">
        <v>5</v>
      </c>
      <c r="B14">
        <v>1.6611842105263161E-2</v>
      </c>
    </row>
    <row r="15" spans="1:2" x14ac:dyDescent="0.3">
      <c r="A15">
        <v>5.4772255750516612</v>
      </c>
      <c r="B15">
        <v>1.8401702786377705E-2</v>
      </c>
    </row>
    <row r="16" spans="1:2" x14ac:dyDescent="0.3">
      <c r="A16">
        <v>5.9160797830996161</v>
      </c>
      <c r="B16">
        <v>2.0452786377708976E-2</v>
      </c>
    </row>
    <row r="17" spans="1:2" x14ac:dyDescent="0.3">
      <c r="A17">
        <v>6.324555320336759</v>
      </c>
      <c r="B17">
        <v>2.1410603715170277E-2</v>
      </c>
    </row>
    <row r="18" spans="1:2" x14ac:dyDescent="0.3">
      <c r="A18">
        <v>6.7082039324993694</v>
      </c>
      <c r="B18">
        <v>2.1478328173374615E-2</v>
      </c>
    </row>
    <row r="19" spans="1:2" x14ac:dyDescent="0.3">
      <c r="A19">
        <v>7.0710678118654755</v>
      </c>
      <c r="B19">
        <v>2.3287538699690403E-2</v>
      </c>
    </row>
    <row r="20" spans="1:2" x14ac:dyDescent="0.3">
      <c r="A20">
        <v>7.416198487095663</v>
      </c>
      <c r="B20">
        <v>2.430340557275542E-2</v>
      </c>
    </row>
    <row r="21" spans="1:2" x14ac:dyDescent="0.3">
      <c r="A21">
        <v>7.745966692414834</v>
      </c>
      <c r="B21">
        <v>2.389705882352941E-2</v>
      </c>
    </row>
    <row r="22" spans="1:2" x14ac:dyDescent="0.3">
      <c r="A22">
        <v>8.3666002653407556</v>
      </c>
      <c r="B22">
        <v>2.6373839009287924E-2</v>
      </c>
    </row>
    <row r="23" spans="1:2" x14ac:dyDescent="0.3">
      <c r="A23">
        <v>8.9442719099991592</v>
      </c>
      <c r="B23">
        <v>2.8492647058823525E-2</v>
      </c>
    </row>
    <row r="24" spans="1:2" x14ac:dyDescent="0.3">
      <c r="A24">
        <v>9.4868329805051381</v>
      </c>
      <c r="B24">
        <v>2.910216718266254E-2</v>
      </c>
    </row>
    <row r="25" spans="1:2" x14ac:dyDescent="0.3">
      <c r="A25">
        <v>10</v>
      </c>
      <c r="B25">
        <v>2.9740712074303406E-2</v>
      </c>
    </row>
    <row r="26" spans="1:2" x14ac:dyDescent="0.3">
      <c r="A26">
        <v>10.488088481701515</v>
      </c>
      <c r="B26">
        <v>3.0466331269349847E-2</v>
      </c>
    </row>
    <row r="27" spans="1:2" x14ac:dyDescent="0.3">
      <c r="A27">
        <v>10.954451150103322</v>
      </c>
      <c r="B27">
        <v>3.0669504643962849E-2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Satarupa Deb Sinha</dc:creator>
  <cp:lastModifiedBy>Satarupa Deb Sinha</cp:lastModifiedBy>
  <dcterms:created xsi:type="dcterms:W3CDTF">2025-03-19T16:01:41Z</dcterms:created>
  <dcterms:modified xsi:type="dcterms:W3CDTF">2025-03-25T17:14:49Z</dcterms:modified>
</cp:coreProperties>
</file>