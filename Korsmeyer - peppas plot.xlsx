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795F2086-CB2D-4E64-9012-0FE420E48657}" xr6:coauthVersionLast="47" xr6:coauthVersionMax="47" xr10:uidLastSave="{00000000-0000-0000-0000-000000000000}"/>
  <bookViews>
    <workbookView xWindow="-108" yWindow="-108" windowWidth="23256" windowHeight="12456" xr2:uid="{58680778-C5EF-44B4-BA39-1910874E3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<sst xmlns="http://schemas.openxmlformats.org/spreadsheetml/2006/main" count="8" uniqueCount="6">
  <si>
    <t>Conc.[ Qt (mg/ml)]</t>
  </si>
  <si>
    <r>
      <t>Q</t>
    </r>
    <r>
      <rPr>
        <vertAlign val="subscript"/>
        <sz val="11"/>
        <color theme="1"/>
        <rFont val="Calibri"/>
        <family val="2"/>
        <scheme val="minor"/>
      </rPr>
      <t xml:space="preserve"> </t>
    </r>
    <r>
      <rPr>
        <vertAlign val="subscript"/>
        <sz val="12"/>
        <color theme="1"/>
        <rFont val="Calibri"/>
        <family val="2"/>
      </rPr>
      <t>∞</t>
    </r>
  </si>
  <si>
    <t>Qt / Q ∞</t>
  </si>
  <si>
    <t>log Qt / Q ∞</t>
  </si>
  <si>
    <t>Time (mins)</t>
  </si>
  <si>
    <t xml:space="preserve">log 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</si>
</sst>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Korsmeyer- Peppas  Release Kinetics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log Qt / Q ∞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0.3010299956639812</c:v>
                </c:pt>
                <c:pt idx="2">
                  <c:v>0.47712125471966244</c:v>
                </c:pt>
                <c:pt idx="3">
                  <c:v>0.6020599913279624</c:v>
                </c:pt>
                <c:pt idx="4">
                  <c:v>0.69897000433601886</c:v>
                </c:pt>
                <c:pt idx="5">
                  <c:v>0.77815125038364363</c:v>
                </c:pt>
                <c:pt idx="6">
                  <c:v>0.84509804001425681</c:v>
                </c:pt>
                <c:pt idx="7">
                  <c:v>0.90308998699194354</c:v>
                </c:pt>
                <c:pt idx="8">
                  <c:v>0.95424250943932487</c:v>
                </c:pt>
                <c:pt idx="9">
                  <c:v>1</c:v>
                </c:pt>
                <c:pt idx="10">
                  <c:v>1.1760912590556813</c:v>
                </c:pt>
                <c:pt idx="11">
                  <c:v>1.3010299956639813</c:v>
                </c:pt>
                <c:pt idx="12">
                  <c:v>1.3979400086720377</c:v>
                </c:pt>
                <c:pt idx="13">
                  <c:v>1.4771212547196624</c:v>
                </c:pt>
                <c:pt idx="14">
                  <c:v>1.5440680443502757</c:v>
                </c:pt>
                <c:pt idx="15">
                  <c:v>1.6020599913279623</c:v>
                </c:pt>
                <c:pt idx="16">
                  <c:v>1.6532125137753437</c:v>
                </c:pt>
                <c:pt idx="17">
                  <c:v>1.6989700043360187</c:v>
                </c:pt>
                <c:pt idx="18">
                  <c:v>1.7403626894942439</c:v>
                </c:pt>
                <c:pt idx="19">
                  <c:v>1.7781512503836436</c:v>
                </c:pt>
                <c:pt idx="20">
                  <c:v>1.8450980400142569</c:v>
                </c:pt>
                <c:pt idx="21">
                  <c:v>1.9030899869919435</c:v>
                </c:pt>
                <c:pt idx="22">
                  <c:v>1.954242509439325</c:v>
                </c:pt>
                <c:pt idx="23">
                  <c:v>2</c:v>
                </c:pt>
                <c:pt idx="24">
                  <c:v>2.0413926851582249</c:v>
                </c:pt>
                <c:pt idx="25">
                  <c:v>2.0791812460476247</c:v>
                </c:pt>
              </c:numCache>
            </c:numRef>
          </c:xVal>
          <c:yVal>
            <c:numRef>
              <c:f>Sheet1!$I$2:$I$27</c:f>
              <c:numCache>
                <c:formatCode>General</c:formatCode>
                <c:ptCount val="26"/>
                <c:pt idx="0">
                  <c:v>-1.8392465817221426</c:v>
                </c:pt>
                <c:pt idx="1">
                  <c:v>-1.2555465994452537</c:v>
                </c:pt>
                <c:pt idx="2">
                  <c:v>-0.98110008650733516</c:v>
                </c:pt>
                <c:pt idx="3">
                  <c:v>-0.81765196812730867</c:v>
                </c:pt>
                <c:pt idx="4">
                  <c:v>-0.80470287852607136</c:v>
                </c:pt>
                <c:pt idx="5">
                  <c:v>-0.74931839344850304</c:v>
                </c:pt>
                <c:pt idx="6">
                  <c:v>-0.65845002764884142</c:v>
                </c:pt>
                <c:pt idx="7">
                  <c:v>-0.60398226404998323</c:v>
                </c:pt>
                <c:pt idx="8">
                  <c:v>-0.59043486237020226</c:v>
                </c:pt>
                <c:pt idx="9">
                  <c:v>-0.55509856368183497</c:v>
                </c:pt>
                <c:pt idx="10">
                  <c:v>-0.38246390203564146</c:v>
                </c:pt>
                <c:pt idx="11">
                  <c:v>-0.2655308203518546</c:v>
                </c:pt>
                <c:pt idx="12">
                  <c:v>-0.2662889720984869</c:v>
                </c:pt>
                <c:pt idx="13">
                  <c:v>-0.22184875465800843</c:v>
                </c:pt>
                <c:pt idx="14">
                  <c:v>-0.17595428428799609</c:v>
                </c:pt>
                <c:pt idx="15">
                  <c:v>-0.15607785333214558</c:v>
                </c:pt>
                <c:pt idx="16">
                  <c:v>-0.15470629280876486</c:v>
                </c:pt>
                <c:pt idx="17">
                  <c:v>-0.11958317698437351</c:v>
                </c:pt>
                <c:pt idx="18">
                  <c:v>-0.10103963219424494</c:v>
                </c:pt>
                <c:pt idx="19">
                  <c:v>-0.10836231399973778</c:v>
                </c:pt>
                <c:pt idx="20">
                  <c:v>-6.5533415760748781E-2</c:v>
                </c:pt>
                <c:pt idx="21">
                  <c:v>-3.1973968136283101E-2</c:v>
                </c:pt>
                <c:pt idx="22">
                  <c:v>-2.2781435339798817E-2</c:v>
                </c:pt>
                <c:pt idx="23">
                  <c:v>-1.3355404095677129E-2</c:v>
                </c:pt>
                <c:pt idx="24">
                  <c:v>-2.8866066228595447E-3</c:v>
                </c:pt>
                <c:pt idx="25">
                  <c:v>-5.0416520004541748E-9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9B-4DD8-AB35-8BECAFE9C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824496"/>
        <c:axId val="2003809136"/>
      </c:scatterChart>
      <c:valAx>
        <c:axId val="200382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 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809136"/>
        <c:crossesAt val="-2"/>
        <c:crossBetween val="midCat"/>
      </c:valAx>
      <c:valAx>
        <c:axId val="200380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 Qt / Q ∞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82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220980</xdr:colOff>
      <xdr:row>12</xdr:row>
      <xdr:rowOff>41910</xdr:rowOff>
    </xdr:from>
    <xdr:to>
      <xdr:col>16</xdr:col>
      <xdr:colOff>548640</xdr:colOff>
      <xdr:row>25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DC2E37-B619-673F-8B8A-FD38B63A4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5251-3E5C-4AC5-9351-37023EB5C659}">
  <dimension ref="A1:I27"/>
  <sheetViews>
    <sheetView tabSelected="1" workbookViewId="0">
      <selection activeCell="K28" sqref="K28"/>
    </sheetView>
  </sheetViews>
  <sheetFormatPr defaultRowHeight="14.4" x14ac:dyDescent="0.3"/>
  <cols>
    <col min="1" max="1" width="19.33203125" customWidth="1"/>
    <col min="2" max="2" width="21.109375" customWidth="1"/>
    <col min="3" max="3" width="12.33203125" customWidth="1"/>
    <col min="4" max="4" width="15.21875" customWidth="1"/>
    <col min="5" max="5" width="14" customWidth="1"/>
    <col min="8" max="8" width="12.6640625" customWidth="1"/>
    <col min="9" max="9" width="15.77734375" customWidth="1"/>
  </cols>
  <sheetData>
    <row r="1" spans="1:9" ht="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</v>
      </c>
      <c r="I1" t="s">
        <v>3</v>
      </c>
    </row>
    <row r="2" spans="1:9" x14ac:dyDescent="0.3">
      <c r="A2">
        <v>4.4407894736842073E-4</v>
      </c>
      <c r="B2">
        <f>0.030669505</f>
        <v>3.0669505E-2</v>
      </c>
      <c r="C2">
        <f>A2/0.030669505</f>
        <v>1.4479495100048752E-2</v>
      </c>
      <c r="D2">
        <f>LOG(C2)</f>
        <v>-1.8392465817221426</v>
      </c>
      <c r="E2">
        <v>1</v>
      </c>
      <c r="F2">
        <f>LOG(E2)</f>
        <v>0</v>
      </c>
      <c r="H2">
        <v>0</v>
      </c>
      <c r="I2">
        <f>LOG(C2)</f>
        <v>-1.8392465817221426</v>
      </c>
    </row>
    <row r="3" spans="1:9" x14ac:dyDescent="0.3">
      <c r="A3">
        <v>1.702786377708978E-3</v>
      </c>
      <c r="C3">
        <f t="shared" ref="C3:C27" si="0">A3/0.030669505</f>
        <v>5.5520504087332938E-2</v>
      </c>
      <c r="D3">
        <f t="shared" ref="D3:D27" si="1">LOG(C3)</f>
        <v>-1.2555465994452537</v>
      </c>
      <c r="E3">
        <v>2</v>
      </c>
      <c r="F3">
        <f t="shared" ref="F3:F18" si="2">LOG(E3)</f>
        <v>0.3010299956639812</v>
      </c>
      <c r="H3">
        <v>0.3010299956639812</v>
      </c>
      <c r="I3">
        <f t="shared" ref="I3:I27" si="3">LOG(C3)</f>
        <v>-1.2555465994452537</v>
      </c>
    </row>
    <row r="4" spans="1:9" x14ac:dyDescent="0.3">
      <c r="A4">
        <v>3.2033668730650153E-3</v>
      </c>
      <c r="C4">
        <f t="shared" si="0"/>
        <v>0.1044479483142951</v>
      </c>
      <c r="D4">
        <f t="shared" si="1"/>
        <v>-0.98110008650733516</v>
      </c>
      <c r="E4">
        <v>3</v>
      </c>
      <c r="F4">
        <f t="shared" si="2"/>
        <v>0.47712125471966244</v>
      </c>
      <c r="H4">
        <v>0.47712125471966244</v>
      </c>
      <c r="I4">
        <f t="shared" si="3"/>
        <v>-0.98110008650733516</v>
      </c>
    </row>
    <row r="5" spans="1:9" x14ac:dyDescent="0.3">
      <c r="A5">
        <v>4.667182662538699E-3</v>
      </c>
      <c r="C5">
        <f t="shared" si="0"/>
        <v>0.15217665438482619</v>
      </c>
      <c r="D5">
        <f t="shared" si="1"/>
        <v>-0.81765196812730867</v>
      </c>
      <c r="E5">
        <v>4</v>
      </c>
      <c r="F5">
        <f t="shared" si="2"/>
        <v>0.6020599913279624</v>
      </c>
      <c r="H5">
        <v>0.6020599913279624</v>
      </c>
      <c r="I5">
        <f t="shared" si="3"/>
        <v>-0.81765196812730867</v>
      </c>
    </row>
    <row r="6" spans="1:9" x14ac:dyDescent="0.3">
      <c r="A6">
        <v>4.8084365325077394E-3</v>
      </c>
      <c r="C6">
        <f t="shared" si="0"/>
        <v>0.15678233256479815</v>
      </c>
      <c r="D6">
        <f t="shared" si="1"/>
        <v>-0.80470287852607136</v>
      </c>
      <c r="E6">
        <v>5</v>
      </c>
      <c r="F6">
        <f t="shared" si="2"/>
        <v>0.69897000433601886</v>
      </c>
      <c r="H6">
        <v>0.69897000433601886</v>
      </c>
      <c r="I6">
        <f t="shared" si="3"/>
        <v>-0.80470287852607136</v>
      </c>
    </row>
    <row r="7" spans="1:9" x14ac:dyDescent="0.3">
      <c r="A7">
        <v>5.4624613003095967E-3</v>
      </c>
      <c r="C7">
        <f t="shared" si="0"/>
        <v>0.17810725345288739</v>
      </c>
      <c r="D7">
        <f t="shared" si="1"/>
        <v>-0.74931839344850304</v>
      </c>
      <c r="E7">
        <v>6</v>
      </c>
      <c r="F7">
        <f t="shared" si="2"/>
        <v>0.77815125038364363</v>
      </c>
      <c r="H7">
        <v>0.77815125038364363</v>
      </c>
      <c r="I7">
        <f t="shared" si="3"/>
        <v>-0.74931839344850304</v>
      </c>
    </row>
    <row r="8" spans="1:9" x14ac:dyDescent="0.3">
      <c r="A8">
        <v>6.7337461300309587E-3</v>
      </c>
      <c r="C8">
        <f t="shared" si="0"/>
        <v>0.21955835707263482</v>
      </c>
      <c r="D8">
        <f t="shared" si="1"/>
        <v>-0.65845002764884142</v>
      </c>
      <c r="E8">
        <v>7</v>
      </c>
      <c r="F8">
        <f t="shared" si="2"/>
        <v>0.84509804001425681</v>
      </c>
      <c r="H8">
        <v>0.84509804001425681</v>
      </c>
      <c r="I8">
        <f t="shared" si="3"/>
        <v>-0.65845002764884142</v>
      </c>
    </row>
    <row r="9" spans="1:9" x14ac:dyDescent="0.3">
      <c r="A9">
        <v>7.6335139318885444E-3</v>
      </c>
      <c r="C9">
        <f t="shared" si="0"/>
        <v>0.24889589616423691</v>
      </c>
      <c r="D9">
        <f t="shared" si="1"/>
        <v>-0.60398226404998323</v>
      </c>
      <c r="E9">
        <v>8</v>
      </c>
      <c r="F9">
        <f t="shared" si="2"/>
        <v>0.90308998699194354</v>
      </c>
      <c r="H9">
        <v>0.90308998699194354</v>
      </c>
      <c r="I9">
        <f t="shared" si="3"/>
        <v>-0.60398226404998323</v>
      </c>
    </row>
    <row r="10" spans="1:9" x14ac:dyDescent="0.3">
      <c r="A10">
        <v>7.8753869969040245E-3</v>
      </c>
      <c r="C10">
        <f t="shared" si="0"/>
        <v>0.25678233140391488</v>
      </c>
      <c r="D10">
        <f t="shared" si="1"/>
        <v>-0.59043486237020226</v>
      </c>
      <c r="E10">
        <v>9</v>
      </c>
      <c r="F10">
        <f t="shared" si="2"/>
        <v>0.95424250943932487</v>
      </c>
      <c r="H10">
        <v>0.95424250943932487</v>
      </c>
      <c r="I10">
        <f t="shared" si="3"/>
        <v>-0.59043486237020226</v>
      </c>
    </row>
    <row r="11" spans="1:9" x14ac:dyDescent="0.3">
      <c r="A11">
        <v>8.5429566563467486E-3</v>
      </c>
      <c r="C11">
        <f t="shared" si="0"/>
        <v>0.2785488926654261</v>
      </c>
      <c r="D11">
        <f t="shared" si="1"/>
        <v>-0.55509856368183497</v>
      </c>
      <c r="E11">
        <v>10</v>
      </c>
      <c r="F11">
        <f t="shared" si="2"/>
        <v>1</v>
      </c>
      <c r="H11">
        <v>1</v>
      </c>
      <c r="I11">
        <f t="shared" si="3"/>
        <v>-0.55509856368183497</v>
      </c>
    </row>
    <row r="12" spans="1:9" x14ac:dyDescent="0.3">
      <c r="A12">
        <v>1.2712848297213624E-2</v>
      </c>
      <c r="C12">
        <f t="shared" si="0"/>
        <v>0.41451103619747448</v>
      </c>
      <c r="D12">
        <f t="shared" si="1"/>
        <v>-0.38246390203564146</v>
      </c>
      <c r="E12">
        <v>15</v>
      </c>
      <c r="F12">
        <f t="shared" si="2"/>
        <v>1.1760912590556813</v>
      </c>
      <c r="H12">
        <v>1.1760912590556813</v>
      </c>
      <c r="I12">
        <f t="shared" si="3"/>
        <v>-0.38246390203564146</v>
      </c>
    </row>
    <row r="13" spans="1:9" x14ac:dyDescent="0.3">
      <c r="A13">
        <v>1.6640866873065013E-2</v>
      </c>
      <c r="C13">
        <f t="shared" si="0"/>
        <v>0.54258674448984467</v>
      </c>
      <c r="D13">
        <f t="shared" si="1"/>
        <v>-0.2655308203518546</v>
      </c>
      <c r="E13">
        <v>20</v>
      </c>
      <c r="F13">
        <f t="shared" si="2"/>
        <v>1.3010299956639813</v>
      </c>
      <c r="H13">
        <v>1.3010299956639813</v>
      </c>
      <c r="I13">
        <f t="shared" si="3"/>
        <v>-0.2655308203518546</v>
      </c>
    </row>
    <row r="14" spans="1:9" x14ac:dyDescent="0.3">
      <c r="A14">
        <v>1.6611842105263161E-2</v>
      </c>
      <c r="C14">
        <f t="shared" si="0"/>
        <v>0.54164037226108352</v>
      </c>
      <c r="D14">
        <f t="shared" si="1"/>
        <v>-0.2662889720984869</v>
      </c>
      <c r="E14">
        <v>25</v>
      </c>
      <c r="F14">
        <f t="shared" si="2"/>
        <v>1.3979400086720377</v>
      </c>
      <c r="H14">
        <v>1.3979400086720377</v>
      </c>
      <c r="I14">
        <f t="shared" si="3"/>
        <v>-0.2662889720984869</v>
      </c>
    </row>
    <row r="15" spans="1:9" x14ac:dyDescent="0.3">
      <c r="A15">
        <v>1.8401702786377705E-2</v>
      </c>
      <c r="C15">
        <f t="shared" si="0"/>
        <v>0.59999999303470031</v>
      </c>
      <c r="D15">
        <f t="shared" si="1"/>
        <v>-0.22184875465800843</v>
      </c>
      <c r="E15">
        <v>30</v>
      </c>
      <c r="F15">
        <f t="shared" si="2"/>
        <v>1.4771212547196624</v>
      </c>
      <c r="H15">
        <v>1.4771212547196624</v>
      </c>
      <c r="I15">
        <f t="shared" si="3"/>
        <v>-0.22184875465800843</v>
      </c>
    </row>
    <row r="16" spans="1:9" x14ac:dyDescent="0.3">
      <c r="A16">
        <v>2.0452786377708976E-2</v>
      </c>
      <c r="C16">
        <f t="shared" si="0"/>
        <v>0.66687696386716955</v>
      </c>
      <c r="D16">
        <f t="shared" si="1"/>
        <v>-0.17595428428799609</v>
      </c>
      <c r="E16">
        <v>35</v>
      </c>
      <c r="F16">
        <f t="shared" si="2"/>
        <v>1.5440680443502757</v>
      </c>
      <c r="H16">
        <v>1.5440680443502757</v>
      </c>
      <c r="I16">
        <f t="shared" si="3"/>
        <v>-0.17595428428799609</v>
      </c>
    </row>
    <row r="17" spans="1:9" x14ac:dyDescent="0.3">
      <c r="A17">
        <v>2.1410603715170277E-2</v>
      </c>
      <c r="C17">
        <f t="shared" si="0"/>
        <v>0.69810724741629437</v>
      </c>
      <c r="D17">
        <f t="shared" si="1"/>
        <v>-0.15607785333214558</v>
      </c>
      <c r="E17">
        <v>40</v>
      </c>
      <c r="F17">
        <f t="shared" si="2"/>
        <v>1.6020599913279623</v>
      </c>
      <c r="H17">
        <v>1.6020599913279623</v>
      </c>
      <c r="I17">
        <f t="shared" si="3"/>
        <v>-0.15607785333214558</v>
      </c>
    </row>
    <row r="18" spans="1:9" x14ac:dyDescent="0.3">
      <c r="A18">
        <v>2.1478328173374615E-2</v>
      </c>
      <c r="C18">
        <f t="shared" si="0"/>
        <v>0.70031544928340428</v>
      </c>
      <c r="D18">
        <f t="shared" si="1"/>
        <v>-0.15470629280876486</v>
      </c>
      <c r="E18">
        <v>45</v>
      </c>
      <c r="F18">
        <f t="shared" si="2"/>
        <v>1.6532125137753437</v>
      </c>
      <c r="H18">
        <v>1.6532125137753437</v>
      </c>
      <c r="I18">
        <f t="shared" si="3"/>
        <v>-0.15470629280876486</v>
      </c>
    </row>
    <row r="19" spans="1:9" x14ac:dyDescent="0.3">
      <c r="A19">
        <v>2.3287538699690403E-2</v>
      </c>
      <c r="C19">
        <f t="shared" si="0"/>
        <v>0.75930598487619549</v>
      </c>
      <c r="D19">
        <f t="shared" si="1"/>
        <v>-0.11958317698437351</v>
      </c>
      <c r="E19">
        <v>50</v>
      </c>
      <c r="F19">
        <f t="shared" ref="F19:F27" si="4">LOG(E19)</f>
        <v>1.6989700043360187</v>
      </c>
      <c r="H19">
        <v>1.6989700043360187</v>
      </c>
      <c r="I19">
        <f t="shared" si="3"/>
        <v>-0.11958317698437351</v>
      </c>
    </row>
    <row r="20" spans="1:9" x14ac:dyDescent="0.3">
      <c r="A20">
        <v>2.430340557275542E-2</v>
      </c>
      <c r="C20">
        <f t="shared" si="0"/>
        <v>0.79242901288284306</v>
      </c>
      <c r="D20">
        <f t="shared" si="1"/>
        <v>-0.10103963219424494</v>
      </c>
      <c r="E20">
        <v>55</v>
      </c>
      <c r="F20">
        <f t="shared" si="4"/>
        <v>1.7403626894942439</v>
      </c>
      <c r="H20">
        <v>1.7403626894942439</v>
      </c>
      <c r="I20">
        <f t="shared" si="3"/>
        <v>-0.10103963219424494</v>
      </c>
    </row>
    <row r="21" spans="1:9" x14ac:dyDescent="0.3">
      <c r="A21">
        <v>2.389705882352941E-2</v>
      </c>
      <c r="C21">
        <f t="shared" si="0"/>
        <v>0.77917980168018397</v>
      </c>
      <c r="D21">
        <f t="shared" si="1"/>
        <v>-0.10836231399973778</v>
      </c>
      <c r="E21">
        <v>60</v>
      </c>
      <c r="F21">
        <f t="shared" si="4"/>
        <v>1.7781512503836436</v>
      </c>
      <c r="H21">
        <v>1.7781512503836436</v>
      </c>
      <c r="I21">
        <f t="shared" si="3"/>
        <v>-0.10836231399973778</v>
      </c>
    </row>
    <row r="22" spans="1:9" x14ac:dyDescent="0.3">
      <c r="A22">
        <v>2.6373839009287924E-2</v>
      </c>
      <c r="C22">
        <f t="shared" si="0"/>
        <v>0.8599368985344864</v>
      </c>
      <c r="D22">
        <f t="shared" si="1"/>
        <v>-6.5533415760748781E-2</v>
      </c>
      <c r="E22">
        <v>70</v>
      </c>
      <c r="F22">
        <f t="shared" si="4"/>
        <v>1.8450980400142569</v>
      </c>
      <c r="H22">
        <v>1.8450980400142569</v>
      </c>
      <c r="I22">
        <f t="shared" si="3"/>
        <v>-6.5533415760748781E-2</v>
      </c>
    </row>
    <row r="23" spans="1:9" x14ac:dyDescent="0.3">
      <c r="A23">
        <v>2.8492647058823525E-2</v>
      </c>
      <c r="C23">
        <f t="shared" si="0"/>
        <v>0.92902207123406544</v>
      </c>
      <c r="D23">
        <f t="shared" si="1"/>
        <v>-3.1973968136283101E-2</v>
      </c>
      <c r="E23">
        <v>80</v>
      </c>
      <c r="F23">
        <f t="shared" si="4"/>
        <v>1.9030899869919435</v>
      </c>
      <c r="H23">
        <v>1.9030899869919435</v>
      </c>
      <c r="I23">
        <f t="shared" si="3"/>
        <v>-3.1973968136283101E-2</v>
      </c>
    </row>
    <row r="24" spans="1:9" x14ac:dyDescent="0.3">
      <c r="A24">
        <v>2.910216718266254E-2</v>
      </c>
      <c r="C24">
        <f t="shared" si="0"/>
        <v>0.94889588803805414</v>
      </c>
      <c r="D24">
        <f t="shared" si="1"/>
        <v>-2.2781435339798817E-2</v>
      </c>
      <c r="E24">
        <v>90</v>
      </c>
      <c r="F24">
        <f t="shared" si="4"/>
        <v>1.954242509439325</v>
      </c>
      <c r="H24">
        <v>1.954242509439325</v>
      </c>
      <c r="I24">
        <f t="shared" si="3"/>
        <v>-2.2781435339798817E-2</v>
      </c>
    </row>
    <row r="25" spans="1:9" x14ac:dyDescent="0.3">
      <c r="A25">
        <v>2.9740712074303406E-2</v>
      </c>
      <c r="C25">
        <f t="shared" si="0"/>
        <v>0.96971607707080398</v>
      </c>
      <c r="D25">
        <f t="shared" si="1"/>
        <v>-1.3355404095677129E-2</v>
      </c>
      <c r="E25">
        <v>100</v>
      </c>
      <c r="F25">
        <f t="shared" si="4"/>
        <v>2</v>
      </c>
      <c r="H25">
        <v>2</v>
      </c>
      <c r="I25">
        <f t="shared" si="3"/>
        <v>-1.3355404095677129E-2</v>
      </c>
    </row>
    <row r="26" spans="1:9" x14ac:dyDescent="0.3">
      <c r="A26">
        <v>3.0466331269349847E-2</v>
      </c>
      <c r="C26">
        <f t="shared" si="0"/>
        <v>0.99337538278983795</v>
      </c>
      <c r="D26">
        <f t="shared" si="1"/>
        <v>-2.8866066228595447E-3</v>
      </c>
      <c r="E26">
        <v>110</v>
      </c>
      <c r="F26">
        <f t="shared" si="4"/>
        <v>2.0413926851582249</v>
      </c>
      <c r="H26">
        <v>2.0413926851582249</v>
      </c>
      <c r="I26">
        <f t="shared" si="3"/>
        <v>-2.8866066228595447E-3</v>
      </c>
    </row>
    <row r="27" spans="1:9" x14ac:dyDescent="0.3">
      <c r="A27">
        <v>3.0669504643962849E-2</v>
      </c>
      <c r="C27">
        <f t="shared" si="0"/>
        <v>0.99999998839116733</v>
      </c>
      <c r="D27">
        <f t="shared" si="1"/>
        <v>-5.0416520004541748E-9</v>
      </c>
      <c r="E27">
        <v>120</v>
      </c>
      <c r="F27">
        <f t="shared" si="4"/>
        <v>2.0791812460476247</v>
      </c>
      <c r="H27">
        <v>2.0791812460476247</v>
      </c>
      <c r="I27">
        <f t="shared" si="3"/>
        <v>-5.0416520004541748E-9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Satarupa Deb Sinha</dc:creator>
  <cp:lastModifiedBy>Satarupa Deb Sinha</cp:lastModifiedBy>
  <dcterms:created xsi:type="dcterms:W3CDTF">2025-03-19T17:31:08Z</dcterms:created>
  <dcterms:modified xsi:type="dcterms:W3CDTF">2025-04-19T13:16:13Z</dcterms:modified>
</cp:coreProperties>
</file>